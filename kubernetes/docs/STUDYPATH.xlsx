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KA - Gap-analyse" sheetId="1" state="visible" r:id="rId3"/>
    <sheet name="CKA - Fasering" sheetId="2" state="visible" r:id="rId4"/>
    <sheet name="CKA - Lab-parameters" sheetId="3" state="visible" r:id="rId5"/>
    <sheet name="Kubestronaut-overzicht" sheetId="4" state="visible" r:id="rId6"/>
    <sheet name="CKAD" sheetId="5" state="visible" r:id="rId7"/>
    <sheet name="CKS" sheetId="6" state="visible" r:id="rId8"/>
    <sheet name="KCSA" sheetId="7" state="visible" r:id="rId9"/>
    <sheet name="KCNA" sheetId="8" state="visible" r:id="rId10"/>
  </sheets>
  <definedNames>
    <definedName function="false" hidden="true" localSheetId="0" name="_xlnm._FilterDatabase" vbProcedure="false">'CKA - Gap-analyse'!$A$1:$G$17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<sst xmlns="http://schemas.openxmlformats.org/spreadsheetml/2006/main" count="353" uniqueCount="201">
  <si>
    <t xml:space="preserve">Domein</t>
  </si>
  <si>
    <t xml:space="preserve">Gewicht</t>
  </si>
  <si>
    <t xml:space="preserve">Competentie</t>
  </si>
  <si>
    <t xml:space="preserve">Gedekt door plan?</t>
  </si>
  <si>
    <t xml:space="preserve">Toevoeging</t>
  </si>
  <si>
    <t xml:space="preserve">Fase</t>
  </si>
  <si>
    <t xml:space="preserve">Status</t>
  </si>
  <si>
    <t xml:space="preserve">Cluster Architecture</t>
  </si>
  <si>
    <t xml:space="preserve">kubeadm install &amp; lifecycle</t>
  </si>
  <si>
    <t xml:space="preserve">Ja</t>
  </si>
  <si>
    <t xml:space="preserve">init, join, upgrade 1.34 → 1.35</t>
  </si>
  <si>
    <t xml:space="preserve">1</t>
  </si>
  <si>
    <t xml:space="preserve">Open</t>
  </si>
  <si>
    <t xml:space="preserve">HA control plane</t>
  </si>
  <si>
    <t xml:space="preserve">Nee</t>
  </si>
  <si>
    <t xml:space="preserve">Optioneel: cp2 + cp3 + HAProxy-VM</t>
  </si>
  <si>
    <t xml:space="preserve">Optioneel</t>
  </si>
  <si>
    <t xml:space="preserve">Helm + Kustomize</t>
  </si>
  <si>
    <t xml:space="preserve">Deels</t>
  </si>
  <si>
    <t xml:space="preserve">Component installeren met Helm én kubectl apply -k</t>
  </si>
  <si>
    <t xml:space="preserve">2</t>
  </si>
  <si>
    <t xml:space="preserve">CNI/CSI/CRI, CRD's, operators</t>
  </si>
  <si>
    <t xml:space="preserve">crictl op elke node; Flannel/Calico/Cilium-rondes</t>
  </si>
  <si>
    <t xml:space="preserve">RBAC</t>
  </si>
  <si>
    <t xml:space="preserve">Oefeningen in README</t>
  </si>
  <si>
    <t xml:space="preserve">etcd backup/restore</t>
  </si>
  <si>
    <t xml:space="preserve">etcdctl op cp1 via node-prep.sh</t>
  </si>
  <si>
    <t xml:space="preserve">Services &amp; Networking</t>
  </si>
  <si>
    <t xml:space="preserve">NetworkPolicy, Services, CoreDNS</t>
  </si>
  <si>
    <t xml:space="preserve">—</t>
  </si>
  <si>
    <t xml:space="preserve">Ingress-controller</t>
  </si>
  <si>
    <t xml:space="preserve">Ingress-NGINX via manifest</t>
  </si>
  <si>
    <t xml:space="preserve">Gateway API</t>
  </si>
  <si>
    <t xml:space="preserve">Gateway API-CRD's + implementatie</t>
  </si>
  <si>
    <t xml:space="preserve">LoadBalancer-type</t>
  </si>
  <si>
    <t xml:space="preserve">MetalLB, pool 192.168.122.200–250</t>
  </si>
  <si>
    <t xml:space="preserve">Workloads &amp; Scheduling</t>
  </si>
  <si>
    <t xml:space="preserve">Autoscaling (HPA)</t>
  </si>
  <si>
    <t xml:space="preserve">metrics-server (ook voor k top)</t>
  </si>
  <si>
    <t xml:space="preserve">Deployments, probes, affinity, taints</t>
  </si>
  <si>
    <t xml:space="preserve">Storage</t>
  </si>
  <si>
    <t xml:space="preserve">Dynamische provisioning (StorageClass)</t>
  </si>
  <si>
    <t xml:space="preserve">local-path-provisioner</t>
  </si>
  <si>
    <t xml:space="preserve">PV/PVC, access modes, reclaim</t>
  </si>
  <si>
    <t xml:space="preserve">Troubleshooting</t>
  </si>
  <si>
    <t xml:space="preserve">Nodes, componenten, logs, netwerk</t>
  </si>
  <si>
    <t xml:space="preserve">Snapshots + no-cni-scenario; break-*.sh-set</t>
  </si>
  <si>
    <t xml:space="preserve">1 + 3</t>
  </si>
  <si>
    <t xml:space="preserve">Examenomgeving</t>
  </si>
  <si>
    <t xml:space="preserve">k-alias, bash-completion</t>
  </si>
  <si>
    <t xml:space="preserve">In node-prep.sh op alle nodes</t>
  </si>
  <si>
    <t xml:space="preserve">Samenvatting</t>
  </si>
  <si>
    <t xml:space="preserve">Gaten (Nee)</t>
  </si>
  <si>
    <t xml:space="preserve">Deels gedekt</t>
  </si>
  <si>
    <t xml:space="preserve">Gedekt (Ja)</t>
  </si>
  <si>
    <t xml:space="preserve">Status Klaar</t>
  </si>
  <si>
    <t xml:space="preserve">Voortgang</t>
  </si>
  <si>
    <t xml:space="preserve">Legenda: zet de kolom Status (geel) zelf op Open / Bezig / Klaar.</t>
  </si>
  <si>
    <t xml:space="preserve">Bron gewichten &amp; competenties: Linux Foundation CKA-pagina, Kubernetes v1.35 — https://training.linuxfoundation.org/certification/certified-kubernetes-administrator-cka/</t>
  </si>
  <si>
    <t xml:space="preserve">Inhoud</t>
  </si>
  <si>
    <t xml:space="preserve">Bestanden</t>
  </si>
  <si>
    <t xml:space="preserve">1 — nu bouwen</t>
  </si>
  <si>
    <t xml:space="preserve">Goedgekeurd plan + etcdctl, crictl, k-alias en completion</t>
  </si>
  <si>
    <t xml:space="preserve">create-vms.sh, node-prep.sh, cp-init.sh, worker-join.sh, snapshot.sh, destroy-vms.sh, README.md</t>
  </si>
  <si>
    <t xml:space="preserve">2 — add-ons</t>
  </si>
  <si>
    <t xml:space="preserve">metrics-server, local-path-provisioner, MetalLB, Ingress-NGINX, Gateway API (elk een eigen functie)</t>
  </si>
  <si>
    <t xml:space="preserve">addons.sh</t>
  </si>
  <si>
    <t xml:space="preserve">3 — troubleshooting</t>
  </si>
  <si>
    <t xml:space="preserve">Opzettelijk kapotmaken: kubelet, static Pod, Service-selector</t>
  </si>
  <si>
    <t xml:space="preserve">break-*.sh</t>
  </si>
  <si>
    <t xml:space="preserve">HA: 3 control planes + HAProxy (krap met 32 GB)</t>
  </si>
  <si>
    <t xml:space="preserve">nog te bepalen</t>
  </si>
  <si>
    <t xml:space="preserve">Parameter</t>
  </si>
  <si>
    <t xml:space="preserve">Waarde</t>
  </si>
  <si>
    <t xml:space="preserve">Opmerking</t>
  </si>
  <si>
    <t xml:space="preserve">Werkmap</t>
  </si>
  <si>
    <t xml:space="preserve">/home/maximuss/kubernetes/kubeadm-lab</t>
  </si>
  <si>
    <t xml:space="preserve">Door gebruiker opgegeven</t>
  </si>
  <si>
    <t xml:space="preserve">Pod-CIDR</t>
  </si>
  <si>
    <t xml:space="preserve">172.30.0.0/16</t>
  </si>
  <si>
    <t xml:space="preserve">Geen overlap met LAN, wlan, wg0, libvirt</t>
  </si>
  <si>
    <t xml:space="preserve">Service-CIDR</t>
  </si>
  <si>
    <t xml:space="preserve">172.31.0.0/16</t>
  </si>
  <si>
    <t xml:space="preserve">Eigen range i.p.v. kubeadm-standaard 10.96.0.0/12</t>
  </si>
  <si>
    <t xml:space="preserve">libvirt-netwerk</t>
  </si>
  <si>
    <t xml:space="preserve">192.168.122.0/24</t>
  </si>
  <si>
    <t xml:space="preserve">DHCP .2–.254 (bevestigd via virsh)</t>
  </si>
  <si>
    <t xml:space="preserve">Startversie</t>
  </si>
  <si>
    <t xml:space="preserve">v1.34</t>
  </si>
  <si>
    <t xml:space="preserve">pkgs.k8s.io per-minor repo; daarna upgrade naar v1.35 (examenversie)</t>
  </si>
  <si>
    <t xml:space="preserve">cp1</t>
  </si>
  <si>
    <t xml:space="preserve">2 vCPU / 4 GiB / 20 GB</t>
  </si>
  <si>
    <t xml:space="preserve">Control plane</t>
  </si>
  <si>
    <t xml:space="preserve">w1, w2</t>
  </si>
  <si>
    <t xml:space="preserve">2 vCPU / 3 GiB / 20 GB</t>
  </si>
  <si>
    <t xml:space="preserve">Workers</t>
  </si>
  <si>
    <t xml:space="preserve">CNI-rondes</t>
  </si>
  <si>
    <t xml:space="preserve">Flannel → Calico → Cilium</t>
  </si>
  <si>
    <t xml:space="preserve">Elk vanaf snapshot no-cni</t>
  </si>
  <si>
    <t xml:space="preserve">Volgorde</t>
  </si>
  <si>
    <t xml:space="preserve">Certificering</t>
  </si>
  <si>
    <t xml:space="preserve">Type</t>
  </si>
  <si>
    <t xml:space="preserve">Duur</t>
  </si>
  <si>
    <t xml:space="preserve">K8s-versie</t>
  </si>
  <si>
    <t xml:space="preserve">Geldig</t>
  </si>
  <si>
    <t xml:space="preserve">Vereiste</t>
  </si>
  <si>
    <t xml:space="preserve">Focus</t>
  </si>
  <si>
    <t xml:space="preserve">CKA</t>
  </si>
  <si>
    <t xml:space="preserve">Praktijk</t>
  </si>
  <si>
    <t xml:space="preserve">2 uur</t>
  </si>
  <si>
    <t xml:space="preserve">v1.35</t>
  </si>
  <si>
    <t xml:space="preserve">2 jaar</t>
  </si>
  <si>
    <t xml:space="preserve">Geen</t>
  </si>
  <si>
    <t xml:space="preserve">NU</t>
  </si>
  <si>
    <t xml:space="preserve">Bezig</t>
  </si>
  <si>
    <t xml:space="preserve">CKAD</t>
  </si>
  <si>
    <t xml:space="preserve">v1.37</t>
  </si>
  <si>
    <t xml:space="preserve">Later</t>
  </si>
  <si>
    <t xml:space="preserve">KCSA</t>
  </si>
  <si>
    <t xml:space="preserve">Meerkeuze</t>
  </si>
  <si>
    <t xml:space="preserve">90 min</t>
  </si>
  <si>
    <t xml:space="preserve">CKS</t>
  </si>
  <si>
    <t xml:space="preserve">Geldige CKA</t>
  </si>
  <si>
    <t xml:space="preserve">KCNA</t>
  </si>
  <si>
    <t xml:space="preserve">Later (kan op elk moment)</t>
  </si>
  <si>
    <t xml:space="preserve">Behaald</t>
  </si>
  <si>
    <t xml:space="preserve">Kubestronaut = alle 5 certificeringen; alle moeten tegelijk geldig (niet verlopen) zijn bij erkenning.</t>
  </si>
  <si>
    <t xml:space="preserve">Geldigheid 2 jaar per certificering: houd de totale doorlooptijd binnen die termijn.</t>
  </si>
  <si>
    <t xml:space="preserve">Let op: CKAD-examen draait op v1.37, CKA/CKS op v1.35 — upgrade het lab door (1.35 → 1.36 → 1.37) wanneer je naar CKAD gaat.</t>
  </si>
  <si>
    <t xml:space="preserve">Golden Kubestronaut = daarnaast alle overige CNCF-certificeringen + LFCS (buiten scope van dit bestand).</t>
  </si>
  <si>
    <t xml:space="preserve">Bronnen: cncf.io/training/kubestronaut en de LF-certificeringspagina's per examen (opgehaald 15-10-2026).</t>
  </si>
  <si>
    <t xml:space="preserve">Competenties</t>
  </si>
  <si>
    <t xml:space="preserve">Lab nodig?</t>
  </si>
  <si>
    <t xml:space="preserve">Lab-oefening / toevoeging</t>
  </si>
  <si>
    <t xml:space="preserve">Application Design and Build</t>
  </si>
  <si>
    <t xml:space="preserve">Container images bouwen/aanpassen; juiste workload kiezen (Deployment, DaemonSet, CronJob); multi-container patronen (sidecar, init); persistente en ephemeral volumes</t>
  </si>
  <si>
    <t xml:space="preserve">Image bouwen met podman/docker op aristotle; sidecar + init-container oefeningen</t>
  </si>
  <si>
    <t xml:space="preserve">Application Deployment</t>
  </si>
  <si>
    <t xml:space="preserve">Blue/green en canary met Kubernetes-primitieven; rolling updates; Helm-packages deployen; Kustomize</t>
  </si>
  <si>
    <t xml:space="preserve">Canary via labels/replicas; Helm + Kustomize (sluit aan op CKA fase 2)</t>
  </si>
  <si>
    <t xml:space="preserve">Application Observability and Maintenance</t>
  </si>
  <si>
    <t xml:space="preserve">API-deprecaties; probes en healthchecks; monitoren met CLI-tools; container logs; debuggen</t>
  </si>
  <si>
    <t xml:space="preserve">metrics-server (CKA fase 2); kubectl debug, logs, events</t>
  </si>
  <si>
    <t xml:space="preserve">Application Environment, Configuration and Security</t>
  </si>
  <si>
    <t xml:space="preserve">CRD's en operators; authN/authZ/admission; requests, limits, quotas; ConfigMaps en Secrets; ServiceAccounts; SecurityContexts en capabilities</t>
  </si>
  <si>
    <t xml:space="preserve">ResourceQuota/LimitRange per namespace; securityContext-oefeningen</t>
  </si>
  <si>
    <t xml:space="preserve">Services and Networking</t>
  </si>
  <si>
    <t xml:space="preserve">Basis NetworkPolicies; toegang via Services; Ingress-regels</t>
  </si>
  <si>
    <t xml:space="preserve">Ingress-NGINX (CKA fase 2); Calico voor NetworkPolicy</t>
  </si>
  <si>
    <t xml:space="preserve">Totaal gewicht (controle = 100%)</t>
  </si>
  <si>
    <t xml:space="preserve">Voortgang (gewogen, Klaar)</t>
  </si>
  <si>
    <t xml:space="preserve">Lab: zelfde kubeadm-cluster; weinig extra nodig na CKA fase 2. Upgrade cluster naar v1.37.</t>
  </si>
  <si>
    <t xml:space="preserve">Bron: https://training.linuxfoundation.org/certification/certified-kubernetes-application-developer-ckad/ (Kubernetes v1.37)</t>
  </si>
  <si>
    <t xml:space="preserve">Cluster Setup</t>
  </si>
  <si>
    <t xml:space="preserve">Network security policies; componenten toetsen aan CIS-benchmarks; Ingress met TLS; node-metadata beschermen; binaries verifiëren</t>
  </si>
  <si>
    <t xml:space="preserve">kube-bench (CIS); Ingress + TLS-secret; sha512-check van binaries</t>
  </si>
  <si>
    <t xml:space="preserve">Cluster Hardening</t>
  </si>
  <si>
    <t xml:space="preserve">RBAC minimaliseren; ServiceAccounts beperken; API-toegang beperken; upgraden tegen kwetsbaarheden</t>
  </si>
  <si>
    <t xml:space="preserve">RBAC least-privilege; automountServiceAccountToken: false; kubeadm upgrade</t>
  </si>
  <si>
    <t xml:space="preserve">System Hardening</t>
  </si>
  <si>
    <t xml:space="preserve">Host-OS minimaliseren; least-privilege IAM; externe netwerktoegang beperken; AppArmor en seccomp</t>
  </si>
  <si>
    <t xml:space="preserve">AppArmor-profiel + seccomp-profiel op workers</t>
  </si>
  <si>
    <t xml:space="preserve">Minimize Microservice Vulnerabilities</t>
  </si>
  <si>
    <t xml:space="preserve">Pod Security Standards; Secrets beheren; isolatie (multi-tenancy, sandboxed containers); pod-to-pod-encryptie (Cilium, Istio)</t>
  </si>
  <si>
    <t xml:space="preserve">Pod Security Admission per namespace; RuntimeClass (gVisor); Cilium-encryptie (CNI-ronde C)</t>
  </si>
  <si>
    <t xml:space="preserve">Supply Chain Security</t>
  </si>
  <si>
    <t xml:space="preserve">Minimale base images; SBOM, CI/CD, registries; toegestane registries, signeren en valideren; statische analyse (Kubesec, KubeLinter)</t>
  </si>
  <si>
    <t xml:space="preserve">Image-scan + SBOM; image signing; admission op toegestane registries</t>
  </si>
  <si>
    <t xml:space="preserve">Monitoring, Logging and Runtime Security</t>
  </si>
  <si>
    <t xml:space="preserve">Gedragsanalyse; dreigingsdetectie; aanvalsfasen onderzoeken; container-immutability; audit logs</t>
  </si>
  <si>
    <t xml:space="preserve">Falco op workers; kube-apiserver audit-policy; readOnlyRootFilesystem</t>
  </si>
  <si>
    <t xml:space="preserve">Lab: zelfde kubeadm-cluster + security-tooling. Exacte tools/versies verifiëren zodra CKS aan de beurt is.</t>
  </si>
  <si>
    <t xml:space="preserve">Bron: https://training.linuxfoundation.org/certification/certified-kubernetes-security-specialist/ (Kubernetes v1.35; vereist geldige CKA)</t>
  </si>
  <si>
    <t xml:space="preserve">Kubernetes Cluster Component Security</t>
  </si>
  <si>
    <t xml:space="preserve">Beveiliging van de clustercomponenten</t>
  </si>
  <si>
    <t xml:space="preserve">Theorie; CKA-lab helpt bij begrip</t>
  </si>
  <si>
    <t xml:space="preserve">Kubernetes Security Fundamentals</t>
  </si>
  <si>
    <t xml:space="preserve">Security-basis binnen Kubernetes</t>
  </si>
  <si>
    <t xml:space="preserve">Theorie</t>
  </si>
  <si>
    <t xml:space="preserve">Kubernetes Threat Model</t>
  </si>
  <si>
    <t xml:space="preserve">Dreigingsmodel van Kubernetes</t>
  </si>
  <si>
    <t xml:space="preserve">Platform Security</t>
  </si>
  <si>
    <t xml:space="preserve">Platformbeveiliging</t>
  </si>
  <si>
    <t xml:space="preserve">Overview of Cloud Native Security</t>
  </si>
  <si>
    <t xml:space="preserve">Overzicht cloud-native security</t>
  </si>
  <si>
    <t xml:space="preserve">Compliance and Security Frameworks</t>
  </si>
  <si>
    <t xml:space="preserve">Compliance- en securityframeworks</t>
  </si>
  <si>
    <t xml:space="preserve">Meerkeuze-examen; goede opstap naar CKS. Sub-competenties hier samengevat; detail in het CNCF-curriculum.</t>
  </si>
  <si>
    <t xml:space="preserve">Bron: https://training.linuxfoundation.org/certification/kubernetes-and-cloud-native-security-associate-kcsa/ (meerkeuze, 90 min)</t>
  </si>
  <si>
    <t xml:space="preserve">Kubernetes Fundamentals</t>
  </si>
  <si>
    <t xml:space="preserve">Core concepts, administratie, scheduling, containerisatie</t>
  </si>
  <si>
    <t xml:space="preserve">Grotendeels gedekt door CKA-studie</t>
  </si>
  <si>
    <t xml:space="preserve">Container Orchestration</t>
  </si>
  <si>
    <t xml:space="preserve">Networking, security, troubleshooting, storage</t>
  </si>
  <si>
    <t xml:space="preserve">Cloud Native Application Delivery</t>
  </si>
  <si>
    <t xml:space="preserve">Application delivery, debugging</t>
  </si>
  <si>
    <t xml:space="preserve">Theorie (GitOps, CI/CD)</t>
  </si>
  <si>
    <t xml:space="preserve">Cloud Native Architecture</t>
  </si>
  <si>
    <t xml:space="preserve">Observability, cloud-native ecosysteem en principes, community</t>
  </si>
  <si>
    <t xml:space="preserve">Meerkeuze-examen; kan op elk moment, na de CKA vooral een herhaling.</t>
  </si>
  <si>
    <t xml:space="preserve">Bron: https://training.linuxfoundation.org/certification/kubernetes-cloud-native-associate/ (meerkeuze, 90 min)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</si>
</sst>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8860B"/>
        <bgColor rgb="FFFF9900"/>
      </patternFill>
    </fill>
    <fill>
      <patternFill patternType="solid">
        <fgColor rgb="FF595959"/>
        <bgColor rgb="FF1F4E78"/>
      </patternFill>
    </fill>
    <fill>
      <patternFill patternType="solid">
        <fgColor rgb="FFBDD7EE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4" t="n">
        <v>0.25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15" hidden="false" customHeight="false" outlineLevel="0" collapsed="false">
      <c r="A3" s="3" t="s">
        <v>7</v>
      </c>
      <c r="B3" s="4" t="n">
        <v>0.25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12</v>
      </c>
    </row>
    <row r="4" customFormat="false" ht="26.85" hidden="false" customHeight="false" outlineLevel="0" collapsed="false">
      <c r="A4" s="3" t="s">
        <v>7</v>
      </c>
      <c r="B4" s="4" t="n">
        <v>0.25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12</v>
      </c>
    </row>
    <row r="5" customFormat="false" ht="15" hidden="false" customHeight="false" outlineLevel="0" collapsed="false">
      <c r="A5" s="3" t="s">
        <v>7</v>
      </c>
      <c r="B5" s="4" t="n">
        <v>0.25</v>
      </c>
      <c r="C5" s="3" t="s">
        <v>21</v>
      </c>
      <c r="D5" s="3" t="s">
        <v>9</v>
      </c>
      <c r="E5" s="3" t="s">
        <v>22</v>
      </c>
      <c r="F5" s="3" t="s">
        <v>11</v>
      </c>
      <c r="G5" s="3" t="s">
        <v>12</v>
      </c>
    </row>
    <row r="6" customFormat="false" ht="15" hidden="false" customHeight="false" outlineLevel="0" collapsed="false">
      <c r="A6" s="3" t="s">
        <v>7</v>
      </c>
      <c r="B6" s="4" t="n">
        <v>0.25</v>
      </c>
      <c r="C6" s="3" t="s">
        <v>23</v>
      </c>
      <c r="D6" s="3" t="s">
        <v>9</v>
      </c>
      <c r="E6" s="3" t="s">
        <v>24</v>
      </c>
      <c r="F6" s="3" t="s">
        <v>11</v>
      </c>
      <c r="G6" s="3" t="s">
        <v>12</v>
      </c>
    </row>
    <row r="7" customFormat="false" ht="15" hidden="false" customHeight="false" outlineLevel="0" collapsed="false">
      <c r="A7" s="3" t="s">
        <v>7</v>
      </c>
      <c r="B7" s="4" t="n">
        <v>0.25</v>
      </c>
      <c r="C7" s="3" t="s">
        <v>25</v>
      </c>
      <c r="D7" s="3" t="s">
        <v>9</v>
      </c>
      <c r="E7" s="3" t="s">
        <v>26</v>
      </c>
      <c r="F7" s="3" t="s">
        <v>11</v>
      </c>
      <c r="G7" s="3" t="s">
        <v>12</v>
      </c>
    </row>
    <row r="8" customFormat="false" ht="15" hidden="false" customHeight="false" outlineLevel="0" collapsed="false">
      <c r="A8" s="3" t="s">
        <v>27</v>
      </c>
      <c r="B8" s="4" t="n">
        <v>0.2</v>
      </c>
      <c r="C8" s="3" t="s">
        <v>28</v>
      </c>
      <c r="D8" s="3" t="s">
        <v>9</v>
      </c>
      <c r="E8" s="3" t="s">
        <v>29</v>
      </c>
      <c r="F8" s="3" t="s">
        <v>11</v>
      </c>
      <c r="G8" s="3" t="s">
        <v>12</v>
      </c>
    </row>
    <row r="9" customFormat="false" ht="15" hidden="false" customHeight="false" outlineLevel="0" collapsed="false">
      <c r="A9" s="3" t="s">
        <v>27</v>
      </c>
      <c r="B9" s="4" t="n">
        <v>0.2</v>
      </c>
      <c r="C9" s="3" t="s">
        <v>30</v>
      </c>
      <c r="D9" s="3" t="s">
        <v>14</v>
      </c>
      <c r="E9" s="3" t="s">
        <v>31</v>
      </c>
      <c r="F9" s="3" t="s">
        <v>20</v>
      </c>
      <c r="G9" s="3" t="s">
        <v>12</v>
      </c>
    </row>
    <row r="10" customFormat="false" ht="15" hidden="false" customHeight="false" outlineLevel="0" collapsed="false">
      <c r="A10" s="3" t="s">
        <v>27</v>
      </c>
      <c r="B10" s="4" t="n">
        <v>0.2</v>
      </c>
      <c r="C10" s="3" t="s">
        <v>32</v>
      </c>
      <c r="D10" s="3" t="s">
        <v>14</v>
      </c>
      <c r="E10" s="3" t="s">
        <v>33</v>
      </c>
      <c r="F10" s="3" t="s">
        <v>20</v>
      </c>
      <c r="G10" s="3" t="s">
        <v>12</v>
      </c>
    </row>
    <row r="11" customFormat="false" ht="15" hidden="false" customHeight="false" outlineLevel="0" collapsed="false">
      <c r="A11" s="3" t="s">
        <v>27</v>
      </c>
      <c r="B11" s="4" t="n">
        <v>0.2</v>
      </c>
      <c r="C11" s="3" t="s">
        <v>34</v>
      </c>
      <c r="D11" s="3" t="s">
        <v>14</v>
      </c>
      <c r="E11" s="3" t="s">
        <v>35</v>
      </c>
      <c r="F11" s="3" t="s">
        <v>20</v>
      </c>
      <c r="G11" s="3" t="s">
        <v>12</v>
      </c>
    </row>
    <row r="12" customFormat="false" ht="15" hidden="false" customHeight="false" outlineLevel="0" collapsed="false">
      <c r="A12" s="3" t="s">
        <v>36</v>
      </c>
      <c r="B12" s="4" t="n">
        <v>0.15</v>
      </c>
      <c r="C12" s="3" t="s">
        <v>37</v>
      </c>
      <c r="D12" s="3" t="s">
        <v>14</v>
      </c>
      <c r="E12" s="3" t="s">
        <v>38</v>
      </c>
      <c r="F12" s="3" t="s">
        <v>20</v>
      </c>
      <c r="G12" s="3" t="s">
        <v>12</v>
      </c>
    </row>
    <row r="13" customFormat="false" ht="15" hidden="false" customHeight="false" outlineLevel="0" collapsed="false">
      <c r="A13" s="3" t="s">
        <v>36</v>
      </c>
      <c r="B13" s="4" t="n">
        <v>0.15</v>
      </c>
      <c r="C13" s="3" t="s">
        <v>39</v>
      </c>
      <c r="D13" s="3" t="s">
        <v>9</v>
      </c>
      <c r="E13" s="3" t="s">
        <v>24</v>
      </c>
      <c r="F13" s="3" t="s">
        <v>11</v>
      </c>
      <c r="G13" s="3" t="s">
        <v>12</v>
      </c>
    </row>
    <row r="14" customFormat="false" ht="26.85" hidden="false" customHeight="false" outlineLevel="0" collapsed="false">
      <c r="A14" s="3" t="s">
        <v>40</v>
      </c>
      <c r="B14" s="4" t="n">
        <v>0.1</v>
      </c>
      <c r="C14" s="3" t="s">
        <v>41</v>
      </c>
      <c r="D14" s="3" t="s">
        <v>14</v>
      </c>
      <c r="E14" s="3" t="s">
        <v>42</v>
      </c>
      <c r="F14" s="3" t="s">
        <v>20</v>
      </c>
      <c r="G14" s="3" t="s">
        <v>12</v>
      </c>
    </row>
    <row r="15" customFormat="false" ht="15" hidden="false" customHeight="false" outlineLevel="0" collapsed="false">
      <c r="A15" s="3" t="s">
        <v>40</v>
      </c>
      <c r="B15" s="4" t="n">
        <v>0.1</v>
      </c>
      <c r="C15" s="3" t="s">
        <v>43</v>
      </c>
      <c r="D15" s="3" t="s">
        <v>9</v>
      </c>
      <c r="E15" s="3" t="s">
        <v>24</v>
      </c>
      <c r="F15" s="3" t="s">
        <v>11</v>
      </c>
      <c r="G15" s="3" t="s">
        <v>12</v>
      </c>
    </row>
    <row r="16" customFormat="false" ht="15" hidden="false" customHeight="false" outlineLevel="0" collapsed="false">
      <c r="A16" s="3" t="s">
        <v>44</v>
      </c>
      <c r="B16" s="4" t="n">
        <v>0.3</v>
      </c>
      <c r="C16" s="3" t="s">
        <v>45</v>
      </c>
      <c r="D16" s="3" t="s">
        <v>9</v>
      </c>
      <c r="E16" s="3" t="s">
        <v>46</v>
      </c>
      <c r="F16" s="3" t="s">
        <v>47</v>
      </c>
      <c r="G16" s="3" t="s">
        <v>12</v>
      </c>
    </row>
    <row r="17" customFormat="false" ht="15" hidden="false" customHeight="false" outlineLevel="0" collapsed="false">
      <c r="A17" s="3" t="s">
        <v>48</v>
      </c>
      <c r="B17" s="4"/>
      <c r="C17" s="3" t="s">
        <v>49</v>
      </c>
      <c r="D17" s="3" t="s">
        <v>29</v>
      </c>
      <c r="E17" s="3" t="s">
        <v>50</v>
      </c>
      <c r="F17" s="3" t="s">
        <v>11</v>
      </c>
      <c r="G17" s="3" t="s">
        <v>12</v>
      </c>
    </row>
    <row r="19" customFormat="false" ht="15" hidden="false" customHeight="false" outlineLevel="0" collapsed="false">
      <c r="A19" s="5" t="s">
        <v>51</v>
      </c>
    </row>
    <row r="20" customFormat="false" ht="15" hidden="false" customHeight="false" outlineLevel="0" collapsed="false">
      <c r="A20" s="6" t="s">
        <v>52</v>
      </c>
      <c r="B20" s="6" t="n">
        <f aca="false">COUNTIF(D2:D17,"Nee")</f>
        <v>6</v>
      </c>
    </row>
    <row r="21" customFormat="false" ht="15" hidden="false" customHeight="false" outlineLevel="0" collapsed="false">
      <c r="A21" s="6" t="s">
        <v>53</v>
      </c>
      <c r="B21" s="6" t="n">
        <f aca="false">COUNTIF(D2:D17,"Deels")</f>
        <v>1</v>
      </c>
    </row>
    <row r="22" customFormat="false" ht="15" hidden="false" customHeight="false" outlineLevel="0" collapsed="false">
      <c r="A22" s="6" t="s">
        <v>54</v>
      </c>
      <c r="B22" s="6" t="n">
        <f aca="false">COUNTIF(D2:D17,"Ja")</f>
        <v>8</v>
      </c>
    </row>
    <row r="23" customFormat="false" ht="15" hidden="false" customHeight="false" outlineLevel="0" collapsed="false">
      <c r="A23" s="6" t="s">
        <v>55</v>
      </c>
      <c r="B23" s="6" t="n">
        <f aca="false">COUNTIF(G2:G17,"Klaar")</f>
        <v>0</v>
      </c>
    </row>
    <row r="24" customFormat="false" ht="15" hidden="false" customHeight="false" outlineLevel="0" collapsed="false">
      <c r="A24" s="6" t="s">
        <v>56</v>
      </c>
      <c r="B24" s="7" t="n">
        <f aca="false">IFERROR(COUNTIF(G2:G17,"Klaar")/COUNTA(G2:G17),0)</f>
        <v>0</v>
      </c>
    </row>
    <row r="26" customFormat="false" ht="15" hidden="false" customHeight="false" outlineLevel="0" collapsed="false">
      <c r="A26" s="8" t="s">
        <v>57</v>
      </c>
    </row>
    <row r="27" customFormat="false" ht="15" hidden="false" customHeight="false" outlineLevel="0" collapsed="false">
      <c r="A27" s="8" t="s">
        <v>58</v>
      </c>
    </row>
  </sheetData>
  <autoFilter ref="A1:G17"/>
  <conditionalFormatting sqref="D2:D17">
    <cfRule type="cellIs" priority="2" operator="equal" aboveAverage="0" equalAverage="0" bottom="0" percent="0" rank="0" text="" dxfId="7">
      <formula>"Nee"</formula>
    </cfRule>
    <cfRule type="cellIs" priority="3" operator="equal" aboveAverage="0" equalAverage="0" bottom="0" percent="0" rank="0" text="" dxfId="8">
      <formula>"Deels"</formula>
    </cfRule>
    <cfRule type="cellIs" priority="4" operator="equal" aboveAverage="0" equalAverage="0" bottom="0" percent="0" rank="0" text="" dxfId="9">
      <formula>"Ja"</formula>
    </cfRule>
  </conditionalFormatting>
  <conditionalFormatting sqref="G2:G17">
    <cfRule type="cellIs" priority="5" operator="equal" aboveAverage="0" equalAverage="0" bottom="0" percent="0" rank="0" text="" dxfId="9">
      <formula>"Klaar"</formula>
    </cfRule>
    <cfRule type="cellIs" priority="6" operator="equal" aboveAverage="0" equalAverage="0" bottom="0" percent="0" rank="0" text="" dxfId="8">
      <formula>"Bezig"</formula>
    </cfRule>
  </conditionalFormatting>
  <dataValidations count="2">
    <dataValidation allowBlank="true" errorStyle="stop" operator="between" showDropDown="false" showErrorMessage="false" showInputMessage="false" sqref="G2:G17" type="list">
      <formula1>"Open,Bezig,Klaar"</formula1>
      <formula2>0</formula2>
    </dataValidation>
    <dataValidation allowBlank="true" errorStyle="stop" operator="between" showDropDown="false" showErrorMessage="false" showInputMessage="false" sqref="D2:D17" type="list">
      <formula1>"Ja,Deels,Nee,—"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9" t="s">
        <v>5</v>
      </c>
      <c r="B1" s="9" t="s">
        <v>59</v>
      </c>
      <c r="C1" s="9" t="s">
        <v>60</v>
      </c>
    </row>
    <row r="2" customFormat="false" ht="26.85" hidden="false" customHeight="false" outlineLevel="0" collapsed="false">
      <c r="A2" s="3" t="s">
        <v>61</v>
      </c>
      <c r="B2" s="3" t="s">
        <v>62</v>
      </c>
      <c r="C2" s="3" t="s">
        <v>63</v>
      </c>
    </row>
    <row r="3" customFormat="false" ht="26.85" hidden="false" customHeight="false" outlineLevel="0" collapsed="false">
      <c r="A3" s="3" t="s">
        <v>64</v>
      </c>
      <c r="B3" s="3" t="s">
        <v>65</v>
      </c>
      <c r="C3" s="3" t="s">
        <v>66</v>
      </c>
    </row>
    <row r="4" customFormat="false" ht="15" hidden="false" customHeight="false" outlineLevel="0" collapsed="false">
      <c r="A4" s="3" t="s">
        <v>67</v>
      </c>
      <c r="B4" s="3" t="s">
        <v>68</v>
      </c>
      <c r="C4" s="3" t="s">
        <v>69</v>
      </c>
    </row>
    <row r="5" customFormat="false" ht="15" hidden="false" customHeight="false" outlineLevel="0" collapsed="false">
      <c r="A5" s="3" t="s">
        <v>16</v>
      </c>
      <c r="B5" s="3" t="s">
        <v>70</v>
      </c>
      <c r="C5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">
        <v>72</v>
      </c>
      <c r="B1" s="9" t="s">
        <v>73</v>
      </c>
      <c r="C1" s="9" t="s">
        <v>74</v>
      </c>
    </row>
    <row r="2" customFormat="false" ht="15" hidden="false" customHeight="false" outlineLevel="0" collapsed="false">
      <c r="A2" s="3" t="s">
        <v>75</v>
      </c>
      <c r="B2" s="3" t="s">
        <v>76</v>
      </c>
      <c r="C2" s="3" t="s">
        <v>77</v>
      </c>
    </row>
    <row r="3" customFormat="false" ht="15" hidden="false" customHeight="false" outlineLevel="0" collapsed="false">
      <c r="A3" s="3" t="s">
        <v>78</v>
      </c>
      <c r="B3" s="3" t="s">
        <v>79</v>
      </c>
      <c r="C3" s="3" t="s">
        <v>80</v>
      </c>
    </row>
    <row r="4" customFormat="false" ht="15" hidden="false" customHeight="false" outlineLevel="0" collapsed="false">
      <c r="A4" s="3" t="s">
        <v>81</v>
      </c>
      <c r="B4" s="3" t="s">
        <v>82</v>
      </c>
      <c r="C4" s="3" t="s">
        <v>83</v>
      </c>
    </row>
    <row r="5" customFormat="false" ht="15" hidden="false" customHeight="false" outlineLevel="0" collapsed="false">
      <c r="A5" s="3" t="s">
        <v>84</v>
      </c>
      <c r="B5" s="3" t="s">
        <v>85</v>
      </c>
      <c r="C5" s="3" t="s">
        <v>86</v>
      </c>
    </row>
    <row r="6" customFormat="false" ht="26.85" hidden="false" customHeight="false" outlineLevel="0" collapsed="false">
      <c r="A6" s="3" t="s">
        <v>87</v>
      </c>
      <c r="B6" s="3" t="s">
        <v>88</v>
      </c>
      <c r="C6" s="3" t="s">
        <v>89</v>
      </c>
    </row>
    <row r="7" customFormat="false" ht="15" hidden="false" customHeight="false" outlineLevel="0" collapsed="false">
      <c r="A7" s="3" t="s">
        <v>90</v>
      </c>
      <c r="B7" s="3" t="s">
        <v>91</v>
      </c>
      <c r="C7" s="3" t="s">
        <v>92</v>
      </c>
    </row>
    <row r="8" customFormat="false" ht="15" hidden="false" customHeight="false" outlineLevel="0" collapsed="false">
      <c r="A8" s="3" t="s">
        <v>93</v>
      </c>
      <c r="B8" s="3" t="s">
        <v>94</v>
      </c>
      <c r="C8" s="3" t="s">
        <v>95</v>
      </c>
    </row>
    <row r="9" customFormat="false" ht="15" hidden="false" customHeight="false" outlineLevel="0" collapsed="false">
      <c r="A9" s="3" t="s">
        <v>96</v>
      </c>
      <c r="B9" s="3" t="s">
        <v>97</v>
      </c>
      <c r="C9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0" t="s">
        <v>99</v>
      </c>
      <c r="B1" s="10" t="s">
        <v>100</v>
      </c>
      <c r="C1" s="10" t="s">
        <v>101</v>
      </c>
      <c r="D1" s="10" t="s">
        <v>102</v>
      </c>
      <c r="E1" s="10" t="s">
        <v>103</v>
      </c>
      <c r="F1" s="10" t="s">
        <v>104</v>
      </c>
      <c r="G1" s="10" t="s">
        <v>105</v>
      </c>
      <c r="H1" s="10" t="s">
        <v>106</v>
      </c>
      <c r="I1" s="10" t="s">
        <v>6</v>
      </c>
    </row>
    <row r="2" customFormat="false" ht="15" hidden="false" customHeight="false" outlineLevel="0" collapsed="false">
      <c r="A2" s="3" t="n">
        <v>1</v>
      </c>
      <c r="B2" s="3" t="s">
        <v>107</v>
      </c>
      <c r="C2" s="3" t="s">
        <v>108</v>
      </c>
      <c r="D2" s="3" t="s">
        <v>109</v>
      </c>
      <c r="E2" s="3" t="s">
        <v>110</v>
      </c>
      <c r="F2" s="3" t="s">
        <v>111</v>
      </c>
      <c r="G2" s="3" t="s">
        <v>112</v>
      </c>
      <c r="H2" s="11" t="s">
        <v>113</v>
      </c>
      <c r="I2" s="3" t="s">
        <v>114</v>
      </c>
    </row>
    <row r="3" customFormat="false" ht="15" hidden="false" customHeight="false" outlineLevel="0" collapsed="false">
      <c r="A3" s="3" t="n">
        <v>2</v>
      </c>
      <c r="B3" s="3" t="s">
        <v>115</v>
      </c>
      <c r="C3" s="3" t="s">
        <v>108</v>
      </c>
      <c r="D3" s="3" t="s">
        <v>109</v>
      </c>
      <c r="E3" s="3" t="s">
        <v>116</v>
      </c>
      <c r="F3" s="3" t="s">
        <v>111</v>
      </c>
      <c r="G3" s="3" t="s">
        <v>112</v>
      </c>
      <c r="H3" s="3" t="s">
        <v>117</v>
      </c>
      <c r="I3" s="3" t="s">
        <v>12</v>
      </c>
    </row>
    <row r="4" customFormat="false" ht="15" hidden="false" customHeight="false" outlineLevel="0" collapsed="false">
      <c r="A4" s="3" t="n">
        <v>3</v>
      </c>
      <c r="B4" s="3" t="s">
        <v>118</v>
      </c>
      <c r="C4" s="3" t="s">
        <v>119</v>
      </c>
      <c r="D4" s="3" t="s">
        <v>120</v>
      </c>
      <c r="E4" s="3" t="s">
        <v>29</v>
      </c>
      <c r="F4" s="3" t="s">
        <v>111</v>
      </c>
      <c r="G4" s="3" t="s">
        <v>112</v>
      </c>
      <c r="H4" s="3" t="s">
        <v>117</v>
      </c>
      <c r="I4" s="3" t="s">
        <v>12</v>
      </c>
    </row>
    <row r="5" customFormat="false" ht="15" hidden="false" customHeight="false" outlineLevel="0" collapsed="false">
      <c r="A5" s="3" t="n">
        <v>4</v>
      </c>
      <c r="B5" s="3" t="s">
        <v>121</v>
      </c>
      <c r="C5" s="3" t="s">
        <v>108</v>
      </c>
      <c r="D5" s="3" t="s">
        <v>109</v>
      </c>
      <c r="E5" s="3" t="s">
        <v>110</v>
      </c>
      <c r="F5" s="3" t="s">
        <v>111</v>
      </c>
      <c r="G5" s="3" t="s">
        <v>122</v>
      </c>
      <c r="H5" s="3" t="s">
        <v>117</v>
      </c>
      <c r="I5" s="3" t="s">
        <v>12</v>
      </c>
    </row>
    <row r="6" customFormat="false" ht="26.85" hidden="false" customHeight="false" outlineLevel="0" collapsed="false">
      <c r="A6" s="3" t="n">
        <v>5</v>
      </c>
      <c r="B6" s="3" t="s">
        <v>123</v>
      </c>
      <c r="C6" s="3" t="s">
        <v>119</v>
      </c>
      <c r="D6" s="3" t="s">
        <v>120</v>
      </c>
      <c r="E6" s="3" t="s">
        <v>29</v>
      </c>
      <c r="F6" s="3" t="s">
        <v>111</v>
      </c>
      <c r="G6" s="3" t="s">
        <v>112</v>
      </c>
      <c r="H6" s="3" t="s">
        <v>124</v>
      </c>
      <c r="I6" s="3" t="s">
        <v>12</v>
      </c>
    </row>
    <row r="8" customFormat="false" ht="15" hidden="false" customHeight="false" outlineLevel="0" collapsed="false">
      <c r="A8" s="5" t="s">
        <v>125</v>
      </c>
      <c r="B8" s="5" t="str">
        <f aca="false">COUNTIF(I2:I6,"Klaar")&amp;" / 5"</f>
        <v>0 / 5</v>
      </c>
    </row>
    <row r="10" customFormat="false" ht="15" hidden="false" customHeight="false" outlineLevel="0" collapsed="false">
      <c r="A10" s="8" t="s">
        <v>126</v>
      </c>
    </row>
    <row r="11" customFormat="false" ht="15" hidden="false" customHeight="false" outlineLevel="0" collapsed="false">
      <c r="A11" s="8" t="s">
        <v>127</v>
      </c>
    </row>
    <row r="12" customFormat="false" ht="15" hidden="false" customHeight="false" outlineLevel="0" collapsed="false">
      <c r="A12" s="8" t="s">
        <v>128</v>
      </c>
    </row>
    <row r="13" customFormat="false" ht="15" hidden="false" customHeight="false" outlineLevel="0" collapsed="false">
      <c r="A13" s="8" t="s">
        <v>129</v>
      </c>
    </row>
    <row r="14" customFormat="false" ht="15" hidden="false" customHeight="false" outlineLevel="0" collapsed="false">
      <c r="A14" s="8" t="s">
        <v>130</v>
      </c>
    </row>
  </sheetData>
  <conditionalFormatting sqref="I2:I6">
    <cfRule type="cellIs" priority="2" operator="equal" aboveAverage="0" equalAverage="0" bottom="0" percent="0" rank="0" text="" dxfId="9">
      <formula>"Klaar"</formula>
    </cfRule>
    <cfRule type="cellIs" priority="3" operator="equal" aboveAverage="0" equalAverage="0" bottom="0" percent="0" rank="0" text="" dxfId="8">
      <formula>"Bezig"</formula>
    </cfRule>
  </conditionalFormatting>
  <dataValidations count="1">
    <dataValidation allowBlank="true" errorStyle="stop" operator="between" showDropDown="false" showErrorMessage="false" showInputMessage="false" sqref="I2:I6" type="list">
      <formula1>"Open,Bezig,Klaar"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131</v>
      </c>
      <c r="D1" s="10" t="s">
        <v>132</v>
      </c>
      <c r="E1" s="10" t="s">
        <v>133</v>
      </c>
      <c r="F1" s="10" t="s">
        <v>6</v>
      </c>
    </row>
    <row r="2" customFormat="false" ht="39.55" hidden="false" customHeight="false" outlineLevel="0" collapsed="false">
      <c r="A2" s="3" t="s">
        <v>134</v>
      </c>
      <c r="B2" s="4" t="n">
        <v>0.2</v>
      </c>
      <c r="C2" s="3" t="s">
        <v>135</v>
      </c>
      <c r="D2" s="3" t="s">
        <v>9</v>
      </c>
      <c r="E2" s="3" t="s">
        <v>136</v>
      </c>
      <c r="F2" s="3" t="s">
        <v>12</v>
      </c>
    </row>
    <row r="3" customFormat="false" ht="26.85" hidden="false" customHeight="false" outlineLevel="0" collapsed="false">
      <c r="A3" s="3" t="s">
        <v>137</v>
      </c>
      <c r="B3" s="4" t="n">
        <v>0.2</v>
      </c>
      <c r="C3" s="3" t="s">
        <v>138</v>
      </c>
      <c r="D3" s="3" t="s">
        <v>9</v>
      </c>
      <c r="E3" s="3" t="s">
        <v>139</v>
      </c>
      <c r="F3" s="3" t="s">
        <v>12</v>
      </c>
    </row>
    <row r="4" customFormat="false" ht="26.85" hidden="false" customHeight="false" outlineLevel="0" collapsed="false">
      <c r="A4" s="3" t="s">
        <v>140</v>
      </c>
      <c r="B4" s="4" t="n">
        <v>0.15</v>
      </c>
      <c r="C4" s="3" t="s">
        <v>141</v>
      </c>
      <c r="D4" s="3" t="s">
        <v>9</v>
      </c>
      <c r="E4" s="3" t="s">
        <v>142</v>
      </c>
      <c r="F4" s="3" t="s">
        <v>12</v>
      </c>
    </row>
    <row r="5" customFormat="false" ht="39.55" hidden="false" customHeight="false" outlineLevel="0" collapsed="false">
      <c r="A5" s="3" t="s">
        <v>143</v>
      </c>
      <c r="B5" s="4" t="n">
        <v>0.25</v>
      </c>
      <c r="C5" s="3" t="s">
        <v>144</v>
      </c>
      <c r="D5" s="3" t="s">
        <v>9</v>
      </c>
      <c r="E5" s="3" t="s">
        <v>145</v>
      </c>
      <c r="F5" s="3" t="s">
        <v>12</v>
      </c>
    </row>
    <row r="6" customFormat="false" ht="26.85" hidden="false" customHeight="false" outlineLevel="0" collapsed="false">
      <c r="A6" s="3" t="s">
        <v>146</v>
      </c>
      <c r="B6" s="4" t="n">
        <v>0.2</v>
      </c>
      <c r="C6" s="3" t="s">
        <v>147</v>
      </c>
      <c r="D6" s="3" t="s">
        <v>9</v>
      </c>
      <c r="E6" s="3" t="s">
        <v>148</v>
      </c>
      <c r="F6" s="3" t="s">
        <v>12</v>
      </c>
    </row>
    <row r="8" customFormat="false" ht="15" hidden="false" customHeight="false" outlineLevel="0" collapsed="false">
      <c r="A8" s="5" t="s">
        <v>149</v>
      </c>
      <c r="B8" s="12" t="n">
        <f aca="false">SUM(B2:B6)</f>
        <v>1</v>
      </c>
    </row>
    <row r="9" customFormat="false" ht="15" hidden="false" customHeight="false" outlineLevel="0" collapsed="false">
      <c r="A9" s="5" t="s">
        <v>150</v>
      </c>
      <c r="B9" s="12" t="n">
        <f aca="false">SUMIF(F2:F6,"Klaar",B2:B6)</f>
        <v>0</v>
      </c>
    </row>
    <row r="11" customFormat="false" ht="15" hidden="false" customHeight="false" outlineLevel="0" collapsed="false">
      <c r="A11" s="8" t="s">
        <v>151</v>
      </c>
    </row>
    <row r="12" customFormat="false" ht="15" hidden="false" customHeight="false" outlineLevel="0" collapsed="false">
      <c r="A12" s="8" t="s">
        <v>152</v>
      </c>
    </row>
  </sheetData>
  <conditionalFormatting sqref="F2:F6">
    <cfRule type="cellIs" priority="2" operator="equal" aboveAverage="0" equalAverage="0" bottom="0" percent="0" rank="0" text="" dxfId="9">
      <formula>"Klaar"</formula>
    </cfRule>
    <cfRule type="cellIs" priority="3" operator="equal" aboveAverage="0" equalAverage="0" bottom="0" percent="0" rank="0" text="" dxfId="8">
      <formula>"Bezig"</formula>
    </cfRule>
  </conditionalFormatting>
  <dataValidations count="1">
    <dataValidation allowBlank="true" errorStyle="stop" operator="between" showDropDown="false" showErrorMessage="false" showInputMessage="false" sqref="F2:F6" type="list">
      <formula1>"Open,Bezig,Klaar"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131</v>
      </c>
      <c r="D1" s="10" t="s">
        <v>132</v>
      </c>
      <c r="E1" s="10" t="s">
        <v>133</v>
      </c>
      <c r="F1" s="10" t="s">
        <v>6</v>
      </c>
    </row>
    <row r="2" customFormat="false" ht="39.55" hidden="false" customHeight="false" outlineLevel="0" collapsed="false">
      <c r="A2" s="3" t="s">
        <v>153</v>
      </c>
      <c r="B2" s="4" t="n">
        <v>0.15</v>
      </c>
      <c r="C2" s="3" t="s">
        <v>154</v>
      </c>
      <c r="D2" s="3" t="s">
        <v>9</v>
      </c>
      <c r="E2" s="3" t="s">
        <v>155</v>
      </c>
      <c r="F2" s="3" t="s">
        <v>12</v>
      </c>
    </row>
    <row r="3" customFormat="false" ht="39.55" hidden="false" customHeight="false" outlineLevel="0" collapsed="false">
      <c r="A3" s="3" t="s">
        <v>156</v>
      </c>
      <c r="B3" s="4" t="n">
        <v>0.15</v>
      </c>
      <c r="C3" s="3" t="s">
        <v>157</v>
      </c>
      <c r="D3" s="3" t="s">
        <v>9</v>
      </c>
      <c r="E3" s="3" t="s">
        <v>158</v>
      </c>
      <c r="F3" s="3" t="s">
        <v>12</v>
      </c>
    </row>
    <row r="4" customFormat="false" ht="26.85" hidden="false" customHeight="false" outlineLevel="0" collapsed="false">
      <c r="A4" s="3" t="s">
        <v>159</v>
      </c>
      <c r="B4" s="4" t="n">
        <v>0.1</v>
      </c>
      <c r="C4" s="3" t="s">
        <v>160</v>
      </c>
      <c r="D4" s="3" t="s">
        <v>9</v>
      </c>
      <c r="E4" s="3" t="s">
        <v>161</v>
      </c>
      <c r="F4" s="3" t="s">
        <v>12</v>
      </c>
    </row>
    <row r="5" customFormat="false" ht="39.55" hidden="false" customHeight="false" outlineLevel="0" collapsed="false">
      <c r="A5" s="3" t="s">
        <v>162</v>
      </c>
      <c r="B5" s="4" t="n">
        <v>0.2</v>
      </c>
      <c r="C5" s="3" t="s">
        <v>163</v>
      </c>
      <c r="D5" s="3" t="s">
        <v>9</v>
      </c>
      <c r="E5" s="3" t="s">
        <v>164</v>
      </c>
      <c r="F5" s="3" t="s">
        <v>12</v>
      </c>
    </row>
    <row r="6" customFormat="false" ht="39.55" hidden="false" customHeight="false" outlineLevel="0" collapsed="false">
      <c r="A6" s="3" t="s">
        <v>165</v>
      </c>
      <c r="B6" s="4" t="n">
        <v>0.2</v>
      </c>
      <c r="C6" s="3" t="s">
        <v>166</v>
      </c>
      <c r="D6" s="3" t="s">
        <v>9</v>
      </c>
      <c r="E6" s="3" t="s">
        <v>167</v>
      </c>
      <c r="F6" s="3" t="s">
        <v>12</v>
      </c>
    </row>
    <row r="7" customFormat="false" ht="26.85" hidden="false" customHeight="false" outlineLevel="0" collapsed="false">
      <c r="A7" s="3" t="s">
        <v>168</v>
      </c>
      <c r="B7" s="4" t="n">
        <v>0.2</v>
      </c>
      <c r="C7" s="3" t="s">
        <v>169</v>
      </c>
      <c r="D7" s="3" t="s">
        <v>9</v>
      </c>
      <c r="E7" s="3" t="s">
        <v>170</v>
      </c>
      <c r="F7" s="3" t="s">
        <v>12</v>
      </c>
    </row>
    <row r="9" customFormat="false" ht="15" hidden="false" customHeight="false" outlineLevel="0" collapsed="false">
      <c r="A9" s="5" t="s">
        <v>149</v>
      </c>
      <c r="B9" s="12" t="n">
        <f aca="false">SUM(B2:B7)</f>
        <v>1</v>
      </c>
    </row>
    <row r="10" customFormat="false" ht="15" hidden="false" customHeight="false" outlineLevel="0" collapsed="false">
      <c r="A10" s="5" t="s">
        <v>150</v>
      </c>
      <c r="B10" s="12" t="n">
        <f aca="false">SUMIF(F2:F7,"Klaar",B2:B7)</f>
        <v>0</v>
      </c>
    </row>
    <row r="12" customFormat="false" ht="15" hidden="false" customHeight="false" outlineLevel="0" collapsed="false">
      <c r="A12" s="8" t="s">
        <v>171</v>
      </c>
    </row>
    <row r="13" customFormat="false" ht="15" hidden="false" customHeight="false" outlineLevel="0" collapsed="false">
      <c r="A13" s="8" t="s">
        <v>172</v>
      </c>
    </row>
  </sheetData>
  <conditionalFormatting sqref="F2:F7">
    <cfRule type="cellIs" priority="2" operator="equal" aboveAverage="0" equalAverage="0" bottom="0" percent="0" rank="0" text="" dxfId="9">
      <formula>"Klaar"</formula>
    </cfRule>
    <cfRule type="cellIs" priority="3" operator="equal" aboveAverage="0" equalAverage="0" bottom="0" percent="0" rank="0" text="" dxfId="8">
      <formula>"Bezig"</formula>
    </cfRule>
  </conditionalFormatting>
  <dataValidations count="1">
    <dataValidation allowBlank="true" errorStyle="stop" operator="between" showDropDown="false" showErrorMessage="false" showInputMessage="false" sqref="F2:F7" type="list">
      <formula1>"Open,Bezig,Klaar"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131</v>
      </c>
      <c r="D1" s="10" t="s">
        <v>132</v>
      </c>
      <c r="E1" s="10" t="s">
        <v>133</v>
      </c>
      <c r="F1" s="10" t="s">
        <v>6</v>
      </c>
    </row>
    <row r="2" customFormat="false" ht="26.85" hidden="false" customHeight="false" outlineLevel="0" collapsed="false">
      <c r="A2" s="3" t="s">
        <v>173</v>
      </c>
      <c r="B2" s="4" t="n">
        <v>0.22</v>
      </c>
      <c r="C2" s="3" t="s">
        <v>174</v>
      </c>
      <c r="D2" s="3" t="s">
        <v>16</v>
      </c>
      <c r="E2" s="3" t="s">
        <v>175</v>
      </c>
      <c r="F2" s="3" t="s">
        <v>12</v>
      </c>
    </row>
    <row r="3" customFormat="false" ht="15" hidden="false" customHeight="false" outlineLevel="0" collapsed="false">
      <c r="A3" s="3" t="s">
        <v>176</v>
      </c>
      <c r="B3" s="4" t="n">
        <v>0.22</v>
      </c>
      <c r="C3" s="3" t="s">
        <v>177</v>
      </c>
      <c r="D3" s="3" t="s">
        <v>16</v>
      </c>
      <c r="E3" s="3" t="s">
        <v>178</v>
      </c>
      <c r="F3" s="3" t="s">
        <v>12</v>
      </c>
    </row>
    <row r="4" customFormat="false" ht="15" hidden="false" customHeight="false" outlineLevel="0" collapsed="false">
      <c r="A4" s="3" t="s">
        <v>179</v>
      </c>
      <c r="B4" s="4" t="n">
        <v>0.16</v>
      </c>
      <c r="C4" s="3" t="s">
        <v>180</v>
      </c>
      <c r="D4" s="3" t="s">
        <v>14</v>
      </c>
      <c r="E4" s="3" t="s">
        <v>178</v>
      </c>
      <c r="F4" s="3" t="s">
        <v>12</v>
      </c>
    </row>
    <row r="5" customFormat="false" ht="15" hidden="false" customHeight="false" outlineLevel="0" collapsed="false">
      <c r="A5" s="3" t="s">
        <v>181</v>
      </c>
      <c r="B5" s="4" t="n">
        <v>0.16</v>
      </c>
      <c r="C5" s="3" t="s">
        <v>182</v>
      </c>
      <c r="D5" s="3" t="s">
        <v>14</v>
      </c>
      <c r="E5" s="3" t="s">
        <v>178</v>
      </c>
      <c r="F5" s="3" t="s">
        <v>12</v>
      </c>
    </row>
    <row r="6" customFormat="false" ht="15" hidden="false" customHeight="false" outlineLevel="0" collapsed="false">
      <c r="A6" s="3" t="s">
        <v>183</v>
      </c>
      <c r="B6" s="4" t="n">
        <v>0.14</v>
      </c>
      <c r="C6" s="3" t="s">
        <v>184</v>
      </c>
      <c r="D6" s="3" t="s">
        <v>14</v>
      </c>
      <c r="E6" s="3" t="s">
        <v>178</v>
      </c>
      <c r="F6" s="3" t="s">
        <v>12</v>
      </c>
    </row>
    <row r="7" customFormat="false" ht="26.85" hidden="false" customHeight="false" outlineLevel="0" collapsed="false">
      <c r="A7" s="3" t="s">
        <v>185</v>
      </c>
      <c r="B7" s="4" t="n">
        <v>0.1</v>
      </c>
      <c r="C7" s="3" t="s">
        <v>186</v>
      </c>
      <c r="D7" s="3" t="s">
        <v>14</v>
      </c>
      <c r="E7" s="3" t="s">
        <v>178</v>
      </c>
      <c r="F7" s="3" t="s">
        <v>12</v>
      </c>
    </row>
    <row r="9" customFormat="false" ht="15" hidden="false" customHeight="false" outlineLevel="0" collapsed="false">
      <c r="A9" s="5" t="s">
        <v>149</v>
      </c>
      <c r="B9" s="12" t="n">
        <f aca="false">SUM(B2:B7)</f>
        <v>1</v>
      </c>
    </row>
    <row r="10" customFormat="false" ht="15" hidden="false" customHeight="false" outlineLevel="0" collapsed="false">
      <c r="A10" s="5" t="s">
        <v>150</v>
      </c>
      <c r="B10" s="12" t="n">
        <f aca="false">SUMIF(F2:F7,"Klaar",B2:B7)</f>
        <v>0</v>
      </c>
    </row>
    <row r="12" customFormat="false" ht="15" hidden="false" customHeight="false" outlineLevel="0" collapsed="false">
      <c r="A12" s="8" t="s">
        <v>187</v>
      </c>
    </row>
    <row r="13" customFormat="false" ht="15" hidden="false" customHeight="false" outlineLevel="0" collapsed="false">
      <c r="A13" s="8" t="s">
        <v>188</v>
      </c>
    </row>
  </sheetData>
  <conditionalFormatting sqref="F2:F7">
    <cfRule type="cellIs" priority="2" operator="equal" aboveAverage="0" equalAverage="0" bottom="0" percent="0" rank="0" text="" dxfId="9">
      <formula>"Klaar"</formula>
    </cfRule>
    <cfRule type="cellIs" priority="3" operator="equal" aboveAverage="0" equalAverage="0" bottom="0" percent="0" rank="0" text="" dxfId="8">
      <formula>"Bezig"</formula>
    </cfRule>
  </conditionalFormatting>
  <dataValidations count="1">
    <dataValidation allowBlank="true" errorStyle="stop" operator="between" showDropDown="false" showErrorMessage="false" showInputMessage="false" sqref="F2:F7" type="list">
      <formula1>"Open,Bezig,Klaar"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131</v>
      </c>
      <c r="D1" s="10" t="s">
        <v>132</v>
      </c>
      <c r="E1" s="10" t="s">
        <v>133</v>
      </c>
      <c r="F1" s="10" t="s">
        <v>6</v>
      </c>
    </row>
    <row r="2" customFormat="false" ht="15" hidden="false" customHeight="false" outlineLevel="0" collapsed="false">
      <c r="A2" s="3" t="s">
        <v>189</v>
      </c>
      <c r="B2" s="4" t="n">
        <v>0.44</v>
      </c>
      <c r="C2" s="3" t="s">
        <v>190</v>
      </c>
      <c r="D2" s="3" t="s">
        <v>16</v>
      </c>
      <c r="E2" s="3" t="s">
        <v>191</v>
      </c>
      <c r="F2" s="3" t="s">
        <v>12</v>
      </c>
    </row>
    <row r="3" customFormat="false" ht="15" hidden="false" customHeight="false" outlineLevel="0" collapsed="false">
      <c r="A3" s="3" t="s">
        <v>192</v>
      </c>
      <c r="B3" s="4" t="n">
        <v>0.28</v>
      </c>
      <c r="C3" s="3" t="s">
        <v>193</v>
      </c>
      <c r="D3" s="3" t="s">
        <v>16</v>
      </c>
      <c r="E3" s="3" t="s">
        <v>191</v>
      </c>
      <c r="F3" s="3" t="s">
        <v>12</v>
      </c>
    </row>
    <row r="4" customFormat="false" ht="15" hidden="false" customHeight="false" outlineLevel="0" collapsed="false">
      <c r="A4" s="3" t="s">
        <v>194</v>
      </c>
      <c r="B4" s="4" t="n">
        <v>0.16</v>
      </c>
      <c r="C4" s="3" t="s">
        <v>195</v>
      </c>
      <c r="D4" s="3" t="s">
        <v>14</v>
      </c>
      <c r="E4" s="3" t="s">
        <v>196</v>
      </c>
      <c r="F4" s="3" t="s">
        <v>12</v>
      </c>
    </row>
    <row r="5" customFormat="false" ht="15" hidden="false" customHeight="false" outlineLevel="0" collapsed="false">
      <c r="A5" s="3" t="s">
        <v>197</v>
      </c>
      <c r="B5" s="4" t="n">
        <v>0.12</v>
      </c>
      <c r="C5" s="3" t="s">
        <v>198</v>
      </c>
      <c r="D5" s="3" t="s">
        <v>14</v>
      </c>
      <c r="E5" s="3" t="s">
        <v>178</v>
      </c>
      <c r="F5" s="3" t="s">
        <v>12</v>
      </c>
    </row>
    <row r="7" customFormat="false" ht="15" hidden="false" customHeight="false" outlineLevel="0" collapsed="false">
      <c r="A7" s="5" t="s">
        <v>149</v>
      </c>
      <c r="B7" s="12" t="n">
        <f aca="false">SUM(B2:B5)</f>
        <v>1</v>
      </c>
    </row>
    <row r="8" customFormat="false" ht="15" hidden="false" customHeight="false" outlineLevel="0" collapsed="false">
      <c r="A8" s="5" t="s">
        <v>150</v>
      </c>
      <c r="B8" s="12" t="n">
        <f aca="false">SUMIF(F2:F5,"Klaar",B2:B5)</f>
        <v>0</v>
      </c>
    </row>
    <row r="10" customFormat="false" ht="15" hidden="false" customHeight="false" outlineLevel="0" collapsed="false">
      <c r="A10" s="8" t="s">
        <v>199</v>
      </c>
    </row>
    <row r="11" customFormat="false" ht="15" hidden="false" customHeight="false" outlineLevel="0" collapsed="false">
      <c r="A11" s="8" t="s">
        <v>200</v>
      </c>
    </row>
  </sheetData>
  <conditionalFormatting sqref="F2:F5">
    <cfRule type="cellIs" priority="2" operator="equal" aboveAverage="0" equalAverage="0" bottom="0" percent="0" rank="0" text="" dxfId="9">
      <formula>"Klaar"</formula>
    </cfRule>
    <cfRule type="cellIs" priority="3" operator="equal" aboveAverage="0" equalAverage="0" bottom="0" percent="0" rank="0" text="" dxfId="8">
      <formula>"Bezig"</formula>
    </cfRule>
  </conditionalFormatting>
  <dataValidations count="1">
    <dataValidation allowBlank="true" errorStyle="stop" operator="between" showDropDown="false" showErrorMessage="false" showInputMessage="false" sqref="F2:F5" type="list">
      <formula1>"Open,Bezig,Klaar"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2026-10-15T14:04:55Z</dcterms:created>
  <dc:creator>openpyxl</dc:creator>
  <dc:description/>
  <dc:language>en-US</dc:language>
  <cp:lastModifiedBy/>
  <dcterms:modified xsi:type="dcterms:W3CDTF">2026-10-15T14:04:55Z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